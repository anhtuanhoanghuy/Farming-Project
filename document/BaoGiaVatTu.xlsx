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F:\My Drive\PROJECTs\QuanTracHoCaNcNgot\DOCs\"/>
    </mc:Choice>
  </mc:AlternateContent>
  <xr:revisionPtr revIDLastSave="0" documentId="13_ncr:1_{97671A9C-A807-4044-BFC7-85DD877FB952}" xr6:coauthVersionLast="47" xr6:coauthVersionMax="47" xr10:uidLastSave="{00000000-0000-0000-0000-000000000000}"/>
  <bookViews>
    <workbookView xWindow="-120" yWindow="-120" windowWidth="29040" windowHeight="15840" tabRatio="583" xr2:uid="{00000000-000D-0000-FFFF-FFFF00000000}"/>
  </bookViews>
  <sheets>
    <sheet name="Báo Giá Thiết Bị" sheetId="1" r:id="rId1"/>
  </sheets>
  <calcPr calcId="181029"/>
</workbook>
</file>

<file path=xl/calcChain.xml><?xml version="1.0" encoding="utf-8"?>
<calcChain xmlns="http://schemas.openxmlformats.org/spreadsheetml/2006/main">
  <c r="J18" i="1" l="1"/>
  <c r="J19" i="1" s="1"/>
  <c r="J17" i="1"/>
  <c r="J11" i="1"/>
  <c r="J12" i="1"/>
  <c r="J14" i="1"/>
  <c r="J15" i="1"/>
  <c r="J16" i="1"/>
  <c r="J13" i="1"/>
  <c r="J10" i="1"/>
  <c r="J9" i="1"/>
  <c r="J8" i="1"/>
  <c r="J7" i="1"/>
  <c r="J6" i="1"/>
</calcChain>
</file>

<file path=xl/sharedStrings.xml><?xml version="1.0" encoding="utf-8"?>
<sst xmlns="http://schemas.openxmlformats.org/spreadsheetml/2006/main" count="80" uniqueCount="55">
  <si>
    <t>BẢNG BÁO GIÁ THIẾT BỊ &amp; LINH KIỆN HỆ THỐNG GIÁM SÁT NƯỚC NUÔI TRỒNG THỦY SẢN</t>
  </si>
  <si>
    <t>Dự án: Ao nuôi/Trang trại thủy sản | Hiệu lực báo giá: 30 ngày | Ngày lập: 22/09/2026</t>
  </si>
  <si>
    <t>STT</t>
  </si>
  <si>
    <t>Hạng mục</t>
  </si>
  <si>
    <t>Tên thiết bị / linh kiện</t>
  </si>
  <si>
    <t>Mô tả / Model kỹ thuật</t>
  </si>
  <si>
    <t>Nhà cung cấp / Hãng sản xuất</t>
  </si>
  <si>
    <t>ĐVT</t>
  </si>
  <si>
    <t>Số lượng</t>
  </si>
  <si>
    <t>Đơn giá (VNĐ)</t>
  </si>
  <si>
    <t>Thành tiền (VNĐ)</t>
  </si>
  <si>
    <t>Bộ</t>
  </si>
  <si>
    <t>Cái</t>
  </si>
  <si>
    <t>Truyền thông &amp; IoT</t>
  </si>
  <si>
    <t>TỔNG CỘNG TRƯỚC THUẾ (VAT)</t>
  </si>
  <si>
    <t>Cảm biến pH dung dịch dùng trong công nghiệp chống nhiễu</t>
  </si>
  <si>
    <t>Cảm biến oxy hòa tan DO quang học (Dissolved Oxygen)</t>
  </si>
  <si>
    <t>Cảm biến nhiệt độ, độ ẩm không khí môi trường bụi cao</t>
  </si>
  <si>
    <t>Module truyền thông Wifi / Ethernet</t>
  </si>
  <si>
    <t>Cảm biến</t>
  </si>
  <si>
    <t>Bộ điều khiển</t>
  </si>
  <si>
    <t>Bộ điều khiển trung tâm đa kết nối</t>
  </si>
  <si>
    <t>Fluorescence Method Optical DO Meter Aquarium Aquaculture Dissolved Oxygen Sensor RS485
-Model: RS-LDO-N01-2 (Cảm biến DO quang học)
-Độ chính xác / Phân giải: ±3% FS / 0.01 mg/L
-Dải đo: 0 ~ 20 mg/L (nước ngọt và nước mặn)
-Thời gian phản hồi: ≤60 giây
-Giao tiếp: RS485 / Modbus
-Nhiệt độ hoạt động: 0 ~ 40°C
-Nguồn điện:DC 10 ~ 30V
-Cáp &amp; Tiêu chuẩn:Cáp sẵn 5m (tùy chỉnh), đạt chuẩn CE, RoHS, vỏ nhựa bền bỉ</t>
  </si>
  <si>
    <t xml:space="preserve">Cảm biến độ ẩm, nhiệt độ SHT40 SHT40-58-RS485 Temperature Humidity Sensor
-Model:SHT40 SHT40-58-RS485
-Cảm biến / Vỏ: Sensirion SHT40, vỏ PVC + màng PE bảo vệ chống bụi/nước
-Dải đo:-40°C ~ +85°C / 0%RH ~ 100%RH
-Độ chính xác:Nhiệt độ ±0.3°C (25°C) | Độ ẩm ±3%RH (60%RH, 25°C)
-Độ phân giải:** 0.1°C / 0.1%RH
-Thời gian phản hồi (luồng gió 1 m/s): Nhiệt độ ≤ 25 giây | Độ ẩm ≤ 8 giây
- Chu kỳ làm mới:2 giây
-Độ ổn định dài hạn:Nhiệt độ ≤ 0.1°C/năm | Độ ẩm ≤ 1%RH/năm
-Giao thức: RS485 Modbus-RTU
-Nguồn điện &amp; Công suất:** DC 5 ~ 28V, công suất tối đa ≤ 0.05W
</t>
  </si>
  <si>
    <t>Nguồn nuôi 24VDC</t>
  </si>
  <si>
    <t>ESP32 - S3 - WROOM-1U-N8R8 + Angten</t>
  </si>
  <si>
    <t>Espressif</t>
  </si>
  <si>
    <t>Nguồn</t>
  </si>
  <si>
    <t>IMET</t>
  </si>
  <si>
    <t>China OEM</t>
  </si>
  <si>
    <t>*** Đơn giá và thành tiền chưa bao gồm thuế GTGT 8% và phí vận chuyển</t>
  </si>
  <si>
    <t>Water pH Meter RS485 Industrial pH Sensor with Multi Type Electrodes
- Dải đo pH: 0.00∼14.00" pH"  (Độ phân giải: 0.01" pH" ).
- Độ chính xác / Sai số: ±0.15" pH"  (Độ lặp lại: ±0.02" pH" ).
- Tín hiệu ngõ ra: Chuẩn công nghiệp RS485 (Modbus RTU).
- Nguồn điện cấp: Dải rộng 7∼30"V DC"
- Chiều dài dây cáp: 5"m"  mặc định</t>
  </si>
  <si>
    <t>Aptomat MCB LS 16A 1 pha và 3 pha mới</t>
  </si>
  <si>
    <t>MC-9b 220VAC | Khởi động từ contactor LS 9A 220V 1NO1NC</t>
  </si>
  <si>
    <t>MT-32 Rơ Le Nhiệt (Thermal Relay) LS Dành Cho Contactor 9A - 40A</t>
  </si>
  <si>
    <t>Vỏ tủ điện công nghiệp 300x400x150mm, dày 1mm</t>
  </si>
  <si>
    <t>Bộ chống mất pha XJ3-G-380V, Rơ le bảo vệ pha XJ3-G chính hãng Chint</t>
  </si>
  <si>
    <t>Tủ điện, thiết bị</t>
  </si>
  <si>
    <t>Vỏ tủ điện</t>
  </si>
  <si>
    <t>Aptomat bảo vệ chập cháy</t>
  </si>
  <si>
    <t>Khởi động từ chịu tải động cơ</t>
  </si>
  <si>
    <t>Rơ Le Nhiệt bảo vệ quá tải</t>
  </si>
  <si>
    <t>Bộ chống mất pha</t>
  </si>
  <si>
    <t>LS</t>
  </si>
  <si>
    <t>Chint</t>
  </si>
  <si>
    <t>Dây điện, đầu cos, ruột gà bảo vệ dây điện</t>
  </si>
  <si>
    <t>Vật tư phụ</t>
  </si>
  <si>
    <t>Giá đỡ + hệ thống bảo vệ cảm biến</t>
  </si>
  <si>
    <t>- Điện áp / Công suất / Dòng ngõ ra: 24V DC / ~50–59W / 2 – 2.9A
- Điện áp ngõ vào: 220V AC (1 ngõ ra)
- Vỏ bọc &amp; Kiểu gắn:F11Vỏ kim loại, gắn sàn / panel (Chassis mount)</t>
  </si>
  <si>
    <t>-	Bộ điều khiển trung tâm thu thập dữ liệu cảm biến và lưu nhật ký, gửi dữ liệu lên cloud
-	Tự động thay đổi trường truyền internet khi gặp sự cố
-	Bảo vệ quá dòng, quá áp
-	5 cổng RS485 Modbus RTU
-	3 cổng DO, 3 cổng DI
-	1 cổng I2C hỗ trợ tối đa 32 cảm biến
- 1 cổng Ethernet
-	1 cổng USB-C</t>
  </si>
  <si>
    <t>Cái này mình đã có</t>
  </si>
  <si>
    <t>Cái này đã có</t>
  </si>
  <si>
    <t>Dụng cụ kẹp cos và đầu cos đã có</t>
  </si>
  <si>
    <t>Tất cả sản phẩm sx mang tên C Ty Đại Minh</t>
  </si>
  <si>
    <t>Dùng vỏ nhựa dễ chế biến hơn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</si>
</sst>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5"/>
      <color rgb="FF1E3A8A"/>
      <name val="Segoe UI"/>
    </font>
    <font>
      <i/>
      <sz val="10"/>
      <color rgb="FF475569"/>
      <name val="Segoe UI"/>
    </font>
    <font>
      <b/>
      <sz val="10"/>
      <color rgb="FFFFFFFF"/>
      <name val="Segoe UI"/>
    </font>
    <font>
      <sz val="10"/>
      <color rgb="FF1E293B"/>
      <name val="Segoe UI"/>
    </font>
    <font>
      <b/>
      <sz val="10"/>
      <color rgb="FF0F172A"/>
      <name val="Segoe UI"/>
    </font>
    <font>
      <sz val="9"/>
      <color rgb="FF64748B"/>
      <name val="Segoe UI"/>
    </font>
    <font>
      <sz val="10"/>
      <color rgb="FF000000"/>
      <name val="Segoe UI"/>
      <family val="2"/>
    </font>
    <font>
      <sz val="10"/>
      <color rgb="FF1E293B"/>
      <name val="Segoe UI"/>
      <family val="2"/>
    </font>
    <font>
      <sz val="10"/>
      <color rgb="FFFF0000"/>
      <name val="Segoe UI"/>
      <family val="2"/>
    </font>
    <font>
      <sz val="10"/>
      <name val="Segoe UI"/>
      <family val="2"/>
      <charset val="163"/>
    </font>
  </fonts>
  <fills count="9">
    <fill>
      <patternFill patternType="none"/>
    </fill>
    <fill>
      <patternFill patternType="gray125"/>
    </fill>
    <fill>
      <patternFill patternType="solid">
        <fgColor rgb="FF1E3A8A"/>
        <bgColor rgb="FF1E3A8A"/>
      </patternFill>
    </fill>
    <fill>
      <patternFill patternType="solid">
        <fgColor rgb="FFF8FAFC"/>
        <bgColor rgb="FFF8FAFC"/>
      </patternFill>
    </fill>
    <fill>
      <patternFill patternType="solid">
        <fgColor rgb="FFE2E8F0"/>
        <bgColor rgb="FFE2E8F0"/>
      </patternFill>
    </fill>
    <fill>
      <patternFill patternType="solid">
        <fgColor theme="0"/>
        <bgColor rgb="FFF8FAFC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F8FAFC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medium">
        <color rgb="FF1E3A8A"/>
      </top>
      <bottom style="medium">
        <color rgb="FF1E3A8A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/>
      <top style="thin">
        <color rgb="FFCBD5E1"/>
      </top>
      <bottom/>
      <diagonal/>
    </border>
    <border>
      <left style="thin">
        <color rgb="FFCBD5E1"/>
      </left>
      <right style="thin">
        <color rgb="FFCBD5E1"/>
      </right>
      <top/>
      <bottom/>
      <diagonal/>
    </border>
    <border>
      <left/>
      <right/>
      <top style="double">
        <color rgb="FF0F172A"/>
      </top>
      <bottom/>
      <diagonal/>
    </border>
    <border>
      <left style="thin">
        <color rgb="FFCBD5E1"/>
      </left>
      <right/>
      <top/>
      <bottom/>
      <diagonal/>
    </border>
    <border>
      <left/>
      <right/>
      <top/>
      <bottom style="double">
        <color rgb="FF0F172A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5" fillId="0" borderId="0" xfId="0" applyFont="1"/>
    <xf numFmtId="0" fontId="4" fillId="5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left" vertical="center" wrapText="1"/>
    </xf>
    <xf numFmtId="0" fontId="8" fillId="6" borderId="2" xfId="0" applyFont="1" applyFill="1" applyBorder="1" applyAlignment="1">
      <alignment horizontal="left" vertical="center" wrapText="1"/>
    </xf>
    <xf numFmtId="3" fontId="4" fillId="6" borderId="2" xfId="0" applyNumberFormat="1" applyFont="1" applyFill="1" applyBorder="1" applyAlignment="1">
      <alignment horizontal="center" vertical="center" wrapText="1"/>
    </xf>
    <xf numFmtId="3" fontId="4" fillId="6" borderId="2" xfId="0" applyNumberFormat="1" applyFont="1" applyFill="1" applyBorder="1" applyAlignment="1">
      <alignment horizontal="right" vertical="center" wrapText="1"/>
    </xf>
    <xf numFmtId="0" fontId="4" fillId="5" borderId="2" xfId="0" applyFont="1" applyFill="1" applyBorder="1" applyAlignment="1">
      <alignment horizontal="left" vertical="center" wrapText="1"/>
    </xf>
    <xf numFmtId="0" fontId="8" fillId="5" borderId="2" xfId="0" quotePrefix="1" applyFont="1" applyFill="1" applyBorder="1" applyAlignment="1">
      <alignment horizontal="left" vertical="center" wrapText="1"/>
    </xf>
    <xf numFmtId="3" fontId="4" fillId="5" borderId="2" xfId="0" applyNumberFormat="1" applyFont="1" applyFill="1" applyBorder="1" applyAlignment="1">
      <alignment horizontal="center" vertical="center" wrapText="1"/>
    </xf>
    <xf numFmtId="3" fontId="4" fillId="5" borderId="2" xfId="0" applyNumberFormat="1" applyFont="1" applyFill="1" applyBorder="1" applyAlignment="1">
      <alignment horizontal="right" vertical="center" wrapText="1"/>
    </xf>
    <xf numFmtId="0" fontId="7" fillId="6" borderId="0" xfId="0" applyFont="1" applyFill="1" applyAlignment="1">
      <alignment horizontal="left" vertical="center" wrapText="1"/>
    </xf>
    <xf numFmtId="0" fontId="8" fillId="5" borderId="2" xfId="0" applyFont="1" applyFill="1" applyBorder="1" applyAlignment="1">
      <alignment horizontal="left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8" fillId="5" borderId="4" xfId="0" applyFont="1" applyFill="1" applyBorder="1" applyAlignment="1">
      <alignment horizontal="center" vertical="center" wrapText="1"/>
    </xf>
    <xf numFmtId="3" fontId="8" fillId="5" borderId="4" xfId="0" applyNumberFormat="1" applyFont="1" applyFill="1" applyBorder="1" applyAlignment="1">
      <alignment horizontal="right" vertical="center" wrapText="1"/>
    </xf>
    <xf numFmtId="0" fontId="8" fillId="5" borderId="4" xfId="0" applyFont="1" applyFill="1" applyBorder="1" applyAlignment="1">
      <alignment horizontal="left" vertical="center" wrapText="1"/>
    </xf>
    <xf numFmtId="0" fontId="8" fillId="5" borderId="0" xfId="0" applyFont="1" applyFill="1" applyAlignment="1">
      <alignment horizontal="center" vertical="center" wrapText="1"/>
    </xf>
    <xf numFmtId="3" fontId="8" fillId="5" borderId="4" xfId="0" applyNumberFormat="1" applyFont="1" applyFill="1" applyBorder="1" applyAlignment="1">
      <alignment horizontal="center" vertical="center" wrapText="1"/>
    </xf>
    <xf numFmtId="3" fontId="8" fillId="5" borderId="0" xfId="0" applyNumberFormat="1" applyFont="1" applyFill="1" applyAlignment="1">
      <alignment horizontal="right" vertical="center" wrapText="1"/>
    </xf>
    <xf numFmtId="0" fontId="9" fillId="3" borderId="5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left" vertical="center" wrapText="1"/>
    </xf>
    <xf numFmtId="0" fontId="0" fillId="4" borderId="7" xfId="0" applyFill="1" applyBorder="1"/>
    <xf numFmtId="0" fontId="5" fillId="4" borderId="7" xfId="0" applyFont="1" applyFill="1" applyBorder="1" applyAlignment="1">
      <alignment vertical="center" wrapText="1"/>
    </xf>
    <xf numFmtId="3" fontId="5" fillId="4" borderId="7" xfId="0" applyNumberFormat="1" applyFont="1" applyFill="1" applyBorder="1" applyAlignment="1">
      <alignment horizontal="right" vertical="center" wrapText="1"/>
    </xf>
    <xf numFmtId="0" fontId="8" fillId="5" borderId="0" xfId="0" applyFont="1" applyFill="1" applyAlignment="1">
      <alignment horizontal="left" vertical="center" wrapText="1"/>
    </xf>
    <xf numFmtId="0" fontId="1" fillId="0" borderId="0" xfId="0" applyFont="1"/>
    <xf numFmtId="0" fontId="0" fillId="0" borderId="0" xfId="0"/>
    <xf numFmtId="0" fontId="6" fillId="0" borderId="0" xfId="0" applyFont="1"/>
    <xf numFmtId="0" fontId="2" fillId="0" borderId="0" xfId="0" applyFont="1"/>
    <xf numFmtId="0" fontId="9" fillId="3" borderId="5" xfId="0" applyFont="1" applyFill="1" applyBorder="1" applyAlignment="1">
      <alignment horizontal="center" vertical="center" wrapText="1"/>
    </xf>
    <xf numFmtId="0" fontId="4" fillId="7" borderId="0" xfId="0" applyFont="1" applyFill="1" applyAlignment="1">
      <alignment horizontal="center" vertical="center" wrapText="1"/>
    </xf>
    <xf numFmtId="0" fontId="8" fillId="7" borderId="4" xfId="0" applyFont="1" applyFill="1" applyBorder="1" applyAlignment="1">
      <alignment horizontal="left" vertical="center" wrapText="1"/>
    </xf>
    <xf numFmtId="0" fontId="8" fillId="7" borderId="2" xfId="0" applyFont="1" applyFill="1" applyBorder="1" applyAlignment="1">
      <alignment horizontal="left" vertical="center" wrapText="1"/>
    </xf>
    <xf numFmtId="0" fontId="4" fillId="7" borderId="2" xfId="0" applyFont="1" applyFill="1" applyBorder="1" applyAlignment="1">
      <alignment horizontal="left" vertical="center" wrapText="1"/>
    </xf>
    <xf numFmtId="0" fontId="8" fillId="7" borderId="3" xfId="0" applyFont="1" applyFill="1" applyBorder="1" applyAlignment="1">
      <alignment horizontal="left" vertical="center" wrapText="1"/>
    </xf>
    <xf numFmtId="0" fontId="4" fillId="7" borderId="2" xfId="0" applyFont="1" applyFill="1" applyBorder="1" applyAlignment="1">
      <alignment horizontal="center" vertical="center" wrapText="1"/>
    </xf>
    <xf numFmtId="3" fontId="4" fillId="7" borderId="2" xfId="0" applyNumberFormat="1" applyFont="1" applyFill="1" applyBorder="1" applyAlignment="1">
      <alignment horizontal="center" vertical="center" wrapText="1"/>
    </xf>
    <xf numFmtId="3" fontId="4" fillId="7" borderId="2" xfId="0" applyNumberFormat="1" applyFont="1" applyFill="1" applyBorder="1" applyAlignment="1">
      <alignment horizontal="right" vertical="center" wrapText="1"/>
    </xf>
    <xf numFmtId="3" fontId="4" fillId="7" borderId="3" xfId="0" applyNumberFormat="1" applyFont="1" applyFill="1" applyBorder="1" applyAlignment="1">
      <alignment horizontal="right" vertical="center" wrapText="1"/>
    </xf>
    <xf numFmtId="0" fontId="0" fillId="8" borderId="0" xfId="0" applyFill="1"/>
    <xf numFmtId="3" fontId="10" fillId="7" borderId="2" xfId="0" applyNumberFormat="1" applyFont="1" applyFill="1" applyBorder="1" applyAlignment="1">
      <alignment horizontal="right" vertical="center" wrapText="1"/>
    </xf>
    <xf numFmtId="0" fontId="8" fillId="7" borderId="0" xfId="0" applyFont="1" applyFill="1" applyAlignment="1">
      <alignment horizontal="center" vertical="center" wrapText="1"/>
    </xf>
    <xf numFmtId="0" fontId="8" fillId="7" borderId="4" xfId="0" applyFont="1" applyFill="1" applyBorder="1" applyAlignment="1">
      <alignment horizontal="center" vertical="center" wrapText="1"/>
    </xf>
    <xf numFmtId="3" fontId="8" fillId="7" borderId="4" xfId="0" applyNumberFormat="1" applyFont="1" applyFill="1" applyBorder="1" applyAlignment="1">
      <alignment horizontal="center" vertical="center" wrapText="1"/>
    </xf>
    <xf numFmtId="3" fontId="8" fillId="7" borderId="4" xfId="0" applyNumberFormat="1" applyFont="1" applyFill="1" applyBorder="1" applyAlignment="1">
      <alignment horizontal="right" vertical="center" wrapText="1"/>
    </xf>
    <xf numFmtId="3" fontId="8" fillId="7" borderId="0" xfId="0" applyNumberFormat="1" applyFont="1" applyFill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22"/>
  <sheetViews>
    <sheetView tabSelected="1" workbookViewId="0">
      <pane xSplit="1" ySplit="5" topLeftCell="B6" activePane="bottomRight" state="frozen"/>
      <selection pane="topRight"/>
      <selection pane="bottomLeft"/>
      <selection pane="bottomRight" activeCell="E17" sqref="E17"/>
    </sheetView>
  </sheetViews>
  <sheetFormatPr defaultRowHeight="15" x14ac:dyDescent="0.25"/>
  <cols>
    <col min="1" max="1" width="3" customWidth="1"/>
    <col min="2" max="2" width="6" customWidth="1"/>
    <col min="3" max="3" width="17.42578125" bestFit="1" customWidth="1"/>
    <col min="4" max="4" width="36.28515625" bestFit="1" customWidth="1"/>
    <col min="5" max="5" width="63.42578125" bestFit="1" customWidth="1"/>
    <col min="6" max="6" width="28.28515625" bestFit="1" customWidth="1"/>
    <col min="7" max="7" width="5.85546875" customWidth="1"/>
    <col min="8" max="9" width="10" customWidth="1"/>
    <col min="10" max="10" width="16.85546875" bestFit="1" customWidth="1"/>
    <col min="11" max="11" width="41.7109375" bestFit="1" customWidth="1"/>
  </cols>
  <sheetData>
    <row r="2" spans="2:11" ht="27.95" customHeight="1" x14ac:dyDescent="0.45">
      <c r="B2" s="28" t="s">
        <v>0</v>
      </c>
      <c r="C2" s="29"/>
      <c r="D2" s="29"/>
      <c r="E2" s="29"/>
      <c r="F2" s="29"/>
      <c r="G2" s="29"/>
      <c r="H2" s="29"/>
      <c r="I2" s="29"/>
      <c r="J2" s="29"/>
    </row>
    <row r="3" spans="2:11" ht="18" customHeight="1" x14ac:dyDescent="0.25">
      <c r="B3" s="31" t="s">
        <v>1</v>
      </c>
      <c r="C3" s="29"/>
      <c r="D3" s="29"/>
      <c r="E3" s="29"/>
      <c r="F3" s="29"/>
      <c r="G3" s="29"/>
      <c r="H3" s="29"/>
      <c r="I3" s="29"/>
      <c r="J3" s="29"/>
    </row>
    <row r="4" spans="2:11" ht="15.75" thickBot="1" x14ac:dyDescent="0.3"/>
    <row r="5" spans="2:11" ht="29.25" thickBot="1" x14ac:dyDescent="0.3"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</row>
    <row r="6" spans="2:11" ht="156.75" x14ac:dyDescent="0.25">
      <c r="B6" s="4">
        <v>1</v>
      </c>
      <c r="C6" s="5" t="s">
        <v>19</v>
      </c>
      <c r="D6" s="5" t="s">
        <v>16</v>
      </c>
      <c r="E6" s="5" t="s">
        <v>22</v>
      </c>
      <c r="F6" s="6" t="s">
        <v>29</v>
      </c>
      <c r="G6" s="4" t="s">
        <v>11</v>
      </c>
      <c r="H6" s="7">
        <v>1</v>
      </c>
      <c r="I6" s="8">
        <v>2700000</v>
      </c>
      <c r="J6" s="8">
        <f t="shared" ref="J6:J8" si="0">I6*H6</f>
        <v>2700000</v>
      </c>
    </row>
    <row r="7" spans="2:11" ht="85.5" x14ac:dyDescent="0.25">
      <c r="B7" s="3">
        <v>2</v>
      </c>
      <c r="C7" s="9" t="s">
        <v>19</v>
      </c>
      <c r="D7" s="9" t="s">
        <v>15</v>
      </c>
      <c r="E7" s="10" t="s">
        <v>31</v>
      </c>
      <c r="F7" s="6" t="s">
        <v>29</v>
      </c>
      <c r="G7" s="3" t="s">
        <v>11</v>
      </c>
      <c r="H7" s="11">
        <v>1</v>
      </c>
      <c r="I7" s="12">
        <v>2000000</v>
      </c>
      <c r="J7" s="12">
        <f t="shared" si="0"/>
        <v>2000000</v>
      </c>
    </row>
    <row r="8" spans="2:11" ht="202.5" customHeight="1" x14ac:dyDescent="0.25">
      <c r="B8" s="4">
        <v>3</v>
      </c>
      <c r="C8" s="5" t="s">
        <v>19</v>
      </c>
      <c r="D8" s="5" t="s">
        <v>17</v>
      </c>
      <c r="E8" s="13" t="s">
        <v>23</v>
      </c>
      <c r="F8" s="6" t="s">
        <v>29</v>
      </c>
      <c r="G8" s="4" t="s">
        <v>11</v>
      </c>
      <c r="H8" s="7">
        <v>1</v>
      </c>
      <c r="I8" s="8">
        <v>250000</v>
      </c>
      <c r="J8" s="8">
        <f t="shared" si="0"/>
        <v>250000</v>
      </c>
    </row>
    <row r="9" spans="2:11" ht="128.25" x14ac:dyDescent="0.25">
      <c r="B9" s="3">
        <v>4</v>
      </c>
      <c r="C9" s="9" t="s">
        <v>20</v>
      </c>
      <c r="D9" s="9" t="s">
        <v>21</v>
      </c>
      <c r="E9" s="10" t="s">
        <v>49</v>
      </c>
      <c r="F9" s="14" t="s">
        <v>28</v>
      </c>
      <c r="G9" s="15" t="s">
        <v>11</v>
      </c>
      <c r="H9" s="11">
        <v>1</v>
      </c>
      <c r="I9" s="12">
        <v>7000000</v>
      </c>
      <c r="J9" s="12">
        <f>H9*I9</f>
        <v>7000000</v>
      </c>
      <c r="K9" t="s">
        <v>53</v>
      </c>
    </row>
    <row r="10" spans="2:11" ht="42.75" x14ac:dyDescent="0.25">
      <c r="B10" s="3">
        <v>5</v>
      </c>
      <c r="C10" s="14" t="s">
        <v>27</v>
      </c>
      <c r="D10" s="14" t="s">
        <v>24</v>
      </c>
      <c r="E10" s="10" t="s">
        <v>48</v>
      </c>
      <c r="F10" s="14" t="s">
        <v>29</v>
      </c>
      <c r="G10" s="3" t="s">
        <v>11</v>
      </c>
      <c r="H10" s="11">
        <v>1</v>
      </c>
      <c r="I10" s="12">
        <v>120000</v>
      </c>
      <c r="J10" s="12">
        <f>H10*I10</f>
        <v>120000</v>
      </c>
    </row>
    <row r="11" spans="2:11" x14ac:dyDescent="0.25">
      <c r="B11" s="3">
        <v>6</v>
      </c>
      <c r="C11" s="9" t="s">
        <v>13</v>
      </c>
      <c r="D11" s="9" t="s">
        <v>18</v>
      </c>
      <c r="E11" s="14" t="s">
        <v>25</v>
      </c>
      <c r="F11" s="14" t="s">
        <v>26</v>
      </c>
      <c r="G11" s="3" t="s">
        <v>12</v>
      </c>
      <c r="H11" s="11">
        <v>1</v>
      </c>
      <c r="I11" s="12">
        <v>200000</v>
      </c>
      <c r="J11" s="12">
        <f t="shared" ref="J11:J12" si="1">H11*I11</f>
        <v>200000</v>
      </c>
    </row>
    <row r="12" spans="2:11" x14ac:dyDescent="0.25">
      <c r="B12" s="16">
        <v>7</v>
      </c>
      <c r="C12" s="18" t="s">
        <v>37</v>
      </c>
      <c r="D12" s="14" t="s">
        <v>38</v>
      </c>
      <c r="E12" s="14" t="s">
        <v>35</v>
      </c>
      <c r="G12" s="3" t="s">
        <v>12</v>
      </c>
      <c r="H12" s="11">
        <v>1</v>
      </c>
      <c r="I12" s="17">
        <v>330000</v>
      </c>
      <c r="J12" s="12">
        <f t="shared" si="1"/>
        <v>330000</v>
      </c>
      <c r="K12" t="s">
        <v>54</v>
      </c>
    </row>
    <row r="13" spans="2:11" s="42" customFormat="1" x14ac:dyDescent="0.25">
      <c r="B13" s="33">
        <v>8</v>
      </c>
      <c r="C13" s="34" t="s">
        <v>37</v>
      </c>
      <c r="D13" s="35" t="s">
        <v>39</v>
      </c>
      <c r="E13" s="36" t="s">
        <v>32</v>
      </c>
      <c r="F13" s="37" t="s">
        <v>43</v>
      </c>
      <c r="G13" s="38" t="s">
        <v>12</v>
      </c>
      <c r="H13" s="39">
        <v>1</v>
      </c>
      <c r="I13" s="40">
        <v>428000</v>
      </c>
      <c r="J13" s="41">
        <f t="shared" ref="J13:J18" si="2">I13*H13</f>
        <v>428000</v>
      </c>
      <c r="K13" s="42" t="s">
        <v>50</v>
      </c>
    </row>
    <row r="14" spans="2:11" s="42" customFormat="1" x14ac:dyDescent="0.25">
      <c r="B14" s="33">
        <v>9</v>
      </c>
      <c r="C14" s="34" t="s">
        <v>37</v>
      </c>
      <c r="D14" s="35" t="s">
        <v>40</v>
      </c>
      <c r="E14" s="36" t="s">
        <v>33</v>
      </c>
      <c r="F14" s="37" t="s">
        <v>43</v>
      </c>
      <c r="G14" s="38" t="s">
        <v>12</v>
      </c>
      <c r="H14" s="39">
        <v>1</v>
      </c>
      <c r="I14" s="40">
        <v>460000</v>
      </c>
      <c r="J14" s="41">
        <f t="shared" si="2"/>
        <v>460000</v>
      </c>
      <c r="K14" s="42" t="s">
        <v>51</v>
      </c>
    </row>
    <row r="15" spans="2:11" s="42" customFormat="1" x14ac:dyDescent="0.25">
      <c r="B15" s="33">
        <v>10</v>
      </c>
      <c r="C15" s="34" t="s">
        <v>37</v>
      </c>
      <c r="D15" s="35" t="s">
        <v>41</v>
      </c>
      <c r="E15" s="36" t="s">
        <v>34</v>
      </c>
      <c r="F15" s="37" t="s">
        <v>43</v>
      </c>
      <c r="G15" s="38" t="s">
        <v>12</v>
      </c>
      <c r="H15" s="39">
        <v>1</v>
      </c>
      <c r="I15" s="43">
        <v>289000</v>
      </c>
      <c r="J15" s="41">
        <f t="shared" si="2"/>
        <v>289000</v>
      </c>
    </row>
    <row r="16" spans="2:11" s="42" customFormat="1" x14ac:dyDescent="0.25">
      <c r="B16" s="33">
        <v>11</v>
      </c>
      <c r="C16" s="34" t="s">
        <v>37</v>
      </c>
      <c r="D16" s="35" t="s">
        <v>42</v>
      </c>
      <c r="E16" s="36" t="s">
        <v>36</v>
      </c>
      <c r="F16" s="37" t="s">
        <v>44</v>
      </c>
      <c r="G16" s="38" t="s">
        <v>12</v>
      </c>
      <c r="H16" s="39">
        <v>1</v>
      </c>
      <c r="I16" s="40">
        <v>235000</v>
      </c>
      <c r="J16" s="41">
        <f t="shared" si="2"/>
        <v>235000</v>
      </c>
    </row>
    <row r="17" spans="2:11" s="42" customFormat="1" x14ac:dyDescent="0.25">
      <c r="B17" s="44">
        <v>12</v>
      </c>
      <c r="C17" s="34" t="s">
        <v>37</v>
      </c>
      <c r="D17" s="34" t="s">
        <v>46</v>
      </c>
      <c r="E17" s="34" t="s">
        <v>45</v>
      </c>
      <c r="G17" s="45" t="s">
        <v>11</v>
      </c>
      <c r="H17" s="46">
        <v>1</v>
      </c>
      <c r="I17" s="47">
        <v>300000</v>
      </c>
      <c r="J17" s="48">
        <f t="shared" si="2"/>
        <v>300000</v>
      </c>
      <c r="K17" s="42" t="s">
        <v>52</v>
      </c>
    </row>
    <row r="18" spans="2:11" x14ac:dyDescent="0.25">
      <c r="B18" s="19">
        <v>13</v>
      </c>
      <c r="C18" s="23" t="s">
        <v>37</v>
      </c>
      <c r="D18" s="27" t="s">
        <v>47</v>
      </c>
      <c r="E18" s="27" t="s">
        <v>47</v>
      </c>
      <c r="G18" s="16" t="s">
        <v>11</v>
      </c>
      <c r="H18" s="20">
        <v>1</v>
      </c>
      <c r="I18" s="17">
        <v>500000</v>
      </c>
      <c r="J18" s="21">
        <f t="shared" si="2"/>
        <v>500000</v>
      </c>
    </row>
    <row r="19" spans="2:11" ht="29.25" thickBot="1" x14ac:dyDescent="0.3">
      <c r="C19" s="24"/>
      <c r="D19" s="24"/>
      <c r="E19" s="24"/>
      <c r="F19" s="25" t="s">
        <v>14</v>
      </c>
      <c r="G19" s="24"/>
      <c r="H19" s="24"/>
      <c r="I19" s="24"/>
      <c r="J19" s="26">
        <f>SUM(J6:J18)</f>
        <v>14812000</v>
      </c>
    </row>
    <row r="20" spans="2:11" ht="33" customHeight="1" thickTop="1" x14ac:dyDescent="0.25">
      <c r="B20" s="2"/>
      <c r="C20" s="32" t="s">
        <v>30</v>
      </c>
      <c r="D20" s="32"/>
      <c r="E20" s="22"/>
    </row>
    <row r="21" spans="2:11" ht="20.100000000000001" customHeight="1" x14ac:dyDescent="0.25">
      <c r="B21" s="30"/>
      <c r="C21" s="29"/>
      <c r="D21" s="29"/>
      <c r="E21" s="29"/>
      <c r="F21" s="29"/>
      <c r="G21" s="29"/>
      <c r="H21" s="29"/>
      <c r="I21" s="29"/>
      <c r="J21" s="29"/>
      <c r="K21" s="29"/>
    </row>
    <row r="22" spans="2:11" ht="20.100000000000001" customHeight="1" x14ac:dyDescent="0.25">
      <c r="B22" s="30"/>
      <c r="C22" s="29"/>
      <c r="D22" s="29"/>
      <c r="E22" s="29"/>
      <c r="F22" s="29"/>
      <c r="G22" s="29"/>
      <c r="H22" s="29"/>
      <c r="I22" s="29"/>
      <c r="J22" s="29"/>
      <c r="K22" s="29"/>
    </row>
  </sheetData>
  <mergeCells count="5">
    <mergeCell ref="B2:J2"/>
    <mergeCell ref="B22:K22"/>
    <mergeCell ref="B3:J3"/>
    <mergeCell ref="B21:K21"/>
    <mergeCell ref="C20:D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Báo Giá Thiết Bị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Vũ Xuân Mạnh</cp:lastModifiedBy>
  <dcterms:created xsi:type="dcterms:W3CDTF">2026-09-22T07:34:56Z</dcterms:created>
  <dcterms:modified xsi:type="dcterms:W3CDTF">2026-09-29T17:45:21Z</dcterms:modified>
</cp:coreProperties>
</file>